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trae\0820焦甜香\"/>
    </mc:Choice>
  </mc:AlternateContent>
  <xr:revisionPtr revIDLastSave="0" documentId="13_ncr:1_{1F37C93D-2EF1-41F6-A91D-F6D256E40E6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报价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1" l="1"/>
  <c r="E42" i="1"/>
  <c r="E43" i="1"/>
  <c r="E40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" i="1"/>
  <c r="E44" i="1" l="1"/>
</calcChain>
</file>

<file path=xl/sharedStrings.xml><?xml version="1.0" encoding="utf-8"?>
<sst xmlns="http://schemas.openxmlformats.org/spreadsheetml/2006/main" count="128" uniqueCount="104">
  <si>
    <t>模块</t>
  </si>
  <si>
    <t>功能点</t>
  </si>
  <si>
    <t>描述</t>
  </si>
  <si>
    <t>小计人天</t>
  </si>
  <si>
    <t>1. 系统首页</t>
  </si>
  <si>
    <t>工作台配置</t>
  </si>
  <si>
    <t>拖拽式自定义布局、卡片管理</t>
  </si>
  <si>
    <t>智能聚合</t>
  </si>
  <si>
    <t>跨系统待办集成、消息中心中心</t>
  </si>
  <si>
    <t>全局搜索</t>
  </si>
  <si>
    <t>全文检索、知识图谱关联推荐</t>
  </si>
  <si>
    <t>KPI驾驶舱</t>
  </si>
  <si>
    <t>多维指标可视化、实时计算</t>
  </si>
  <si>
    <t>2. 市场洞察</t>
  </si>
  <si>
    <t>舆情监测系统</t>
  </si>
  <si>
    <t>全网爬虫、数据清洗、情感分析NLP</t>
  </si>
  <si>
    <t>问卷调查平台</t>
  </si>
  <si>
    <t>可视化问卷设计、投放逻辑、回收统计</t>
  </si>
  <si>
    <t>竞品数据库</t>
  </si>
  <si>
    <t>多维竞品档案、雷达对比分析</t>
  </si>
  <si>
    <t>3. 原料管理</t>
  </si>
  <si>
    <t>基地数字化</t>
  </si>
  <si>
    <t>GIS地图集成、环境数据物联网采集</t>
  </si>
  <si>
    <t>原料基因库</t>
  </si>
  <si>
    <t>全生命周期档案、LIMS数据同步</t>
  </si>
  <si>
    <t>智能库存</t>
  </si>
  <si>
    <t>效期预警、呆滞分析模型</t>
  </si>
  <si>
    <t>采购辅助决策</t>
  </si>
  <si>
    <t>需求预测算法、缺口自动计算</t>
  </si>
  <si>
    <t>4. 配方管理</t>
  </si>
  <si>
    <t>配方精细化维护</t>
  </si>
  <si>
    <t>复杂结构编辑、版本树、实时成本</t>
  </si>
  <si>
    <t>智能辅助设计</t>
  </si>
  <si>
    <t>基于遗传算法的自动寻优、替代料推荐</t>
  </si>
  <si>
    <t>三级评审流程</t>
  </si>
  <si>
    <t>多级审批流、差异比对、电子签名</t>
  </si>
  <si>
    <t>5. 香精香料</t>
  </si>
  <si>
    <t>香料知识库</t>
  </si>
  <si>
    <t>单体/香基档案、标准香韵词库</t>
  </si>
  <si>
    <t>AI智能调香</t>
  </si>
  <si>
    <t>感官-理化映射模型、竞品仿香逆向</t>
  </si>
  <si>
    <t>精密配方管理</t>
  </si>
  <si>
    <t>高精度防差错集成、加密存储算法</t>
  </si>
  <si>
    <t>6. 烟用辅材</t>
  </si>
  <si>
    <t>辅材适性匹配</t>
  </si>
  <si>
    <t>卷烟纸透气度与焦油量预测模型</t>
  </si>
  <si>
    <t>在线包装设计</t>
  </si>
  <si>
    <t>2D转3D渲染引擎、在线批注协同</t>
  </si>
  <si>
    <t>供应商协同</t>
  </si>
  <si>
    <t>资质自动审核、材料评价体系</t>
  </si>
  <si>
    <t>7. 工艺管理</t>
  </si>
  <si>
    <t>结构化工艺标准</t>
  </si>
  <si>
    <t>参数建模、版本严控、变更追溯</t>
  </si>
  <si>
    <t>工艺参数仿真</t>
  </si>
  <si>
    <t>基于物理属性的参数模拟预测</t>
  </si>
  <si>
    <t>MES交互接口</t>
  </si>
  <si>
    <t>机台状态校验、参数下发指令集</t>
  </si>
  <si>
    <t>8. 实验室管理</t>
  </si>
  <si>
    <t>全流程检测业务</t>
  </si>
  <si>
    <t>委托-采样-检测-报告全链路</t>
  </si>
  <si>
    <t>仪器数据集成</t>
  </si>
  <si>
    <t>主流仪器IoT接口开发、数据解析</t>
  </si>
  <si>
    <t>CNAS合规</t>
  </si>
  <si>
    <t>电子记录痕迹、质量体系审计</t>
  </si>
  <si>
    <t>9. 质量管理</t>
  </si>
  <si>
    <t>移动质检</t>
  </si>
  <si>
    <t>Pad端应用开发、离线数据同步</t>
  </si>
  <si>
    <t>缺陷视觉识别</t>
  </si>
  <si>
    <t>外观缺陷AI图像识别辅助</t>
  </si>
  <si>
    <t>QMS质量分析</t>
  </si>
  <si>
    <t>SPC统计过程控制、质量追溯树</t>
  </si>
  <si>
    <t>10. 在线试验</t>
  </si>
  <si>
    <t>高级排程系统</t>
  </si>
  <si>
    <t>基于资源约束的甘特图自动排程</t>
  </si>
  <si>
    <t>过程实时监控</t>
  </si>
  <si>
    <t>TimeSeries时序数据采集与展示</t>
  </si>
  <si>
    <t>试验报告引擎</t>
  </si>
  <si>
    <t>多源数据自动聚合生成</t>
  </si>
  <si>
    <t>11. 综合管理</t>
  </si>
  <si>
    <t>科研项目管理</t>
  </si>
  <si>
    <t>WBS分解、进度与经费关联监控</t>
  </si>
  <si>
    <t>资产效能分析</t>
  </si>
  <si>
    <t>设备OEE分析、维保预测</t>
  </si>
  <si>
    <t>12. 科研助手</t>
  </si>
  <si>
    <t>科研知识图谱</t>
  </si>
  <si>
    <t>文献解析、实体抽取、RAG构建</t>
  </si>
  <si>
    <t>生成式AI应用</t>
  </si>
  <si>
    <t>智能摘要、多语种翻译、润色</t>
  </si>
  <si>
    <t>项目管理 (PM)</t>
  </si>
  <si>
    <t>全生命周期</t>
  </si>
  <si>
    <t>进度、质量、风险、沟通管理</t>
  </si>
  <si>
    <t>需求分析与设计</t>
  </si>
  <si>
    <t>前置阶段</t>
  </si>
  <si>
    <t>业务调研、原型主要、架构设计、UI/UX</t>
  </si>
  <si>
    <t>系统测试与UAT</t>
  </si>
  <si>
    <t>质量保障</t>
  </si>
  <si>
    <t>单元/集成/性能/安全测试、用户验收</t>
  </si>
  <si>
    <t>部署实施与培训</t>
  </si>
  <si>
    <t>交付阶段</t>
  </si>
  <si>
    <t>环境搭建、数据迁移、操作培训、文档</t>
  </si>
  <si>
    <t>项目总计</t>
  </si>
  <si>
    <t>数字化研发管理业务平台</t>
    <phoneticPr fontId="6" type="noConversion"/>
  </si>
  <si>
    <t xml:space="preserve">报价基准: 2000元/人天 </t>
    <phoneticPr fontId="6" type="noConversion"/>
  </si>
  <si>
    <t>报价 (元)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</si>
</sst>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¥#,##0"/>
  </numFmts>
  <fonts count="10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color rgb="FFFFFFFF"/>
      <name val="宋体"/>
      <charset val="134"/>
    </font>
    <font>
      <b/>
      <sz val="11"/>
      <color rgb="FF2F5597"/>
      <name val="宋体"/>
      <charset val="134"/>
    </font>
    <font>
      <b/>
      <sz val="12"/>
      <name val="宋体"/>
      <charset val="134"/>
    </font>
    <font>
      <b/>
      <sz val="12"/>
      <color rgb="FFC00000"/>
      <name val="宋体"/>
      <charset val="134"/>
    </font>
    <font>
      <sz val="9"/>
      <name val="宋体"/>
      <family val="3"/>
      <charset val="134"/>
      <scheme val="minor"/>
    </font>
    <font>
      <b/>
      <sz val="18"/>
      <color rgb="FF333333"/>
      <name val="宋体"/>
      <family val="3"/>
      <charset val="134"/>
    </font>
    <font>
      <i/>
      <sz val="11"/>
      <color rgb="FF666666"/>
      <name val="宋体"/>
      <family val="3"/>
      <charset val="134"/>
    </font>
    <font>
      <b/>
      <sz val="11"/>
      <color rgb="FFFFFFFF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176" fontId="1" fillId="0" borderId="1" xfId="0" applyNumberFormat="1" applyFont="1" applyBorder="1"/>
    <xf numFmtId="0" fontId="3" fillId="0" borderId="1" xfId="0" applyFont="1" applyBorder="1"/>
    <xf numFmtId="0" fontId="5" fillId="0" borderId="0" xfId="0" applyFont="1"/>
    <xf numFmtId="176" fontId="5" fillId="0" borderId="0" xfId="0" applyNumberFormat="1" applyFont="1"/>
    <xf numFmtId="0" fontId="4" fillId="0" borderId="0" xfId="0" applyFont="1" applyAlignment="1">
      <alignment horizontal="right"/>
    </xf>
    <xf numFmtId="0" fontId="0" fillId="0" borderId="0" xfId="0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right"/>
    </xf>
    <xf numFmtId="0" fontId="9" fillId="2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workbookViewId="0">
      <selection sqref="A1:E1"/>
    </sheetView>
  </sheetViews>
  <sheetFormatPr defaultRowHeight="14" x14ac:dyDescent="0.25"/>
  <cols>
    <col min="1" max="2" width="20" customWidth="1"/>
    <col min="3" max="3" width="40" customWidth="1"/>
    <col min="4" max="4" width="12" customWidth="1"/>
    <col min="5" max="5" width="18" customWidth="1"/>
  </cols>
  <sheetData>
    <row r="1" spans="1:5" ht="23" x14ac:dyDescent="0.25">
      <c r="A1" s="10" t="s">
        <v>101</v>
      </c>
      <c r="B1" s="9"/>
      <c r="C1" s="9"/>
      <c r="D1" s="9"/>
      <c r="E1" s="9"/>
    </row>
    <row r="2" spans="1:5" x14ac:dyDescent="0.25">
      <c r="A2" s="11" t="s">
        <v>102</v>
      </c>
      <c r="B2" s="9"/>
      <c r="C2" s="9"/>
      <c r="D2" s="9"/>
      <c r="E2" s="9"/>
    </row>
    <row r="3" spans="1:5" x14ac:dyDescent="0.25">
      <c r="A3" s="1" t="s">
        <v>0</v>
      </c>
      <c r="B3" s="1" t="s">
        <v>1</v>
      </c>
      <c r="C3" s="1" t="s">
        <v>2</v>
      </c>
      <c r="D3" s="1" t="s">
        <v>3</v>
      </c>
      <c r="E3" s="12" t="s">
        <v>103</v>
      </c>
    </row>
    <row r="4" spans="1:5" x14ac:dyDescent="0.25">
      <c r="A4" s="2" t="s">
        <v>4</v>
      </c>
      <c r="B4" s="2" t="s">
        <v>5</v>
      </c>
      <c r="C4" s="2" t="s">
        <v>6</v>
      </c>
      <c r="D4" s="3">
        <v>13</v>
      </c>
      <c r="E4" s="4">
        <f>D4*2000</f>
        <v>26000</v>
      </c>
    </row>
    <row r="5" spans="1:5" x14ac:dyDescent="0.25">
      <c r="A5" s="2" t="s">
        <v>4</v>
      </c>
      <c r="B5" s="2" t="s">
        <v>7</v>
      </c>
      <c r="C5" s="2" t="s">
        <v>8</v>
      </c>
      <c r="D5" s="3">
        <v>15</v>
      </c>
      <c r="E5" s="4">
        <f t="shared" ref="E5:E43" si="0">D5*2000</f>
        <v>30000</v>
      </c>
    </row>
    <row r="6" spans="1:5" x14ac:dyDescent="0.25">
      <c r="A6" s="2" t="s">
        <v>4</v>
      </c>
      <c r="B6" s="2" t="s">
        <v>9</v>
      </c>
      <c r="C6" s="2" t="s">
        <v>10</v>
      </c>
      <c r="D6" s="3">
        <v>24</v>
      </c>
      <c r="E6" s="4">
        <f t="shared" si="0"/>
        <v>48000</v>
      </c>
    </row>
    <row r="7" spans="1:5" x14ac:dyDescent="0.25">
      <c r="A7" s="2" t="s">
        <v>4</v>
      </c>
      <c r="B7" s="2" t="s">
        <v>11</v>
      </c>
      <c r="C7" s="2" t="s">
        <v>12</v>
      </c>
      <c r="D7" s="3">
        <v>18</v>
      </c>
      <c r="E7" s="4">
        <f t="shared" si="0"/>
        <v>36000</v>
      </c>
    </row>
    <row r="8" spans="1:5" x14ac:dyDescent="0.25">
      <c r="A8" s="2" t="s">
        <v>13</v>
      </c>
      <c r="B8" s="2" t="s">
        <v>14</v>
      </c>
      <c r="C8" s="2" t="s">
        <v>15</v>
      </c>
      <c r="D8" s="3">
        <v>50</v>
      </c>
      <c r="E8" s="4">
        <f t="shared" si="0"/>
        <v>100000</v>
      </c>
    </row>
    <row r="9" spans="1:5" x14ac:dyDescent="0.25">
      <c r="A9" s="2" t="s">
        <v>13</v>
      </c>
      <c r="B9" s="2" t="s">
        <v>16</v>
      </c>
      <c r="C9" s="2" t="s">
        <v>17</v>
      </c>
      <c r="D9" s="3">
        <v>22</v>
      </c>
      <c r="E9" s="4">
        <f t="shared" si="0"/>
        <v>44000</v>
      </c>
    </row>
    <row r="10" spans="1:5" x14ac:dyDescent="0.25">
      <c r="A10" s="2" t="s">
        <v>13</v>
      </c>
      <c r="B10" s="2" t="s">
        <v>18</v>
      </c>
      <c r="C10" s="2" t="s">
        <v>19</v>
      </c>
      <c r="D10" s="3">
        <v>23</v>
      </c>
      <c r="E10" s="4">
        <f t="shared" si="0"/>
        <v>46000</v>
      </c>
    </row>
    <row r="11" spans="1:5" x14ac:dyDescent="0.25">
      <c r="A11" s="2" t="s">
        <v>20</v>
      </c>
      <c r="B11" s="2" t="s">
        <v>21</v>
      </c>
      <c r="C11" s="2" t="s">
        <v>22</v>
      </c>
      <c r="D11" s="3">
        <v>22</v>
      </c>
      <c r="E11" s="4">
        <f t="shared" si="0"/>
        <v>44000</v>
      </c>
    </row>
    <row r="12" spans="1:5" x14ac:dyDescent="0.25">
      <c r="A12" s="2" t="s">
        <v>20</v>
      </c>
      <c r="B12" s="2" t="s">
        <v>23</v>
      </c>
      <c r="C12" s="2" t="s">
        <v>24</v>
      </c>
      <c r="D12" s="3">
        <v>23</v>
      </c>
      <c r="E12" s="4">
        <f t="shared" si="0"/>
        <v>46000</v>
      </c>
    </row>
    <row r="13" spans="1:5" x14ac:dyDescent="0.25">
      <c r="A13" s="2" t="s">
        <v>20</v>
      </c>
      <c r="B13" s="2" t="s">
        <v>25</v>
      </c>
      <c r="C13" s="2" t="s">
        <v>26</v>
      </c>
      <c r="D13" s="3">
        <v>23</v>
      </c>
      <c r="E13" s="4">
        <f t="shared" si="0"/>
        <v>46000</v>
      </c>
    </row>
    <row r="14" spans="1:5" x14ac:dyDescent="0.25">
      <c r="A14" s="2" t="s">
        <v>20</v>
      </c>
      <c r="B14" s="2" t="s">
        <v>27</v>
      </c>
      <c r="C14" s="2" t="s">
        <v>28</v>
      </c>
      <c r="D14" s="3">
        <v>32</v>
      </c>
      <c r="E14" s="4">
        <f t="shared" si="0"/>
        <v>64000</v>
      </c>
    </row>
    <row r="15" spans="1:5" x14ac:dyDescent="0.25">
      <c r="A15" s="2" t="s">
        <v>29</v>
      </c>
      <c r="B15" s="2" t="s">
        <v>30</v>
      </c>
      <c r="C15" s="2" t="s">
        <v>31</v>
      </c>
      <c r="D15" s="3">
        <v>35</v>
      </c>
      <c r="E15" s="4">
        <f t="shared" si="0"/>
        <v>70000</v>
      </c>
    </row>
    <row r="16" spans="1:5" x14ac:dyDescent="0.25">
      <c r="A16" s="2" t="s">
        <v>29</v>
      </c>
      <c r="B16" s="2" t="s">
        <v>32</v>
      </c>
      <c r="C16" s="2" t="s">
        <v>33</v>
      </c>
      <c r="D16" s="3">
        <v>70</v>
      </c>
      <c r="E16" s="4">
        <f t="shared" si="0"/>
        <v>140000</v>
      </c>
    </row>
    <row r="17" spans="1:5" x14ac:dyDescent="0.25">
      <c r="A17" s="2" t="s">
        <v>29</v>
      </c>
      <c r="B17" s="2" t="s">
        <v>34</v>
      </c>
      <c r="C17" s="2" t="s">
        <v>35</v>
      </c>
      <c r="D17" s="3">
        <v>23</v>
      </c>
      <c r="E17" s="4">
        <f t="shared" si="0"/>
        <v>46000</v>
      </c>
    </row>
    <row r="18" spans="1:5" x14ac:dyDescent="0.25">
      <c r="A18" s="2" t="s">
        <v>36</v>
      </c>
      <c r="B18" s="2" t="s">
        <v>37</v>
      </c>
      <c r="C18" s="2" t="s">
        <v>38</v>
      </c>
      <c r="D18" s="3">
        <v>18</v>
      </c>
      <c r="E18" s="4">
        <f t="shared" si="0"/>
        <v>36000</v>
      </c>
    </row>
    <row r="19" spans="1:5" x14ac:dyDescent="0.25">
      <c r="A19" s="2" t="s">
        <v>36</v>
      </c>
      <c r="B19" s="2" t="s">
        <v>39</v>
      </c>
      <c r="C19" s="2" t="s">
        <v>40</v>
      </c>
      <c r="D19" s="3">
        <v>60</v>
      </c>
      <c r="E19" s="4">
        <f t="shared" si="0"/>
        <v>120000</v>
      </c>
    </row>
    <row r="20" spans="1:5" x14ac:dyDescent="0.25">
      <c r="A20" s="2" t="s">
        <v>36</v>
      </c>
      <c r="B20" s="2" t="s">
        <v>41</v>
      </c>
      <c r="C20" s="2" t="s">
        <v>42</v>
      </c>
      <c r="D20" s="3">
        <v>30</v>
      </c>
      <c r="E20" s="4">
        <f t="shared" si="0"/>
        <v>60000</v>
      </c>
    </row>
    <row r="21" spans="1:5" x14ac:dyDescent="0.25">
      <c r="A21" s="2" t="s">
        <v>43</v>
      </c>
      <c r="B21" s="2" t="s">
        <v>44</v>
      </c>
      <c r="C21" s="2" t="s">
        <v>45</v>
      </c>
      <c r="D21" s="3">
        <v>38</v>
      </c>
      <c r="E21" s="4">
        <f t="shared" si="0"/>
        <v>76000</v>
      </c>
    </row>
    <row r="22" spans="1:5" x14ac:dyDescent="0.25">
      <c r="A22" s="2" t="s">
        <v>43</v>
      </c>
      <c r="B22" s="2" t="s">
        <v>46</v>
      </c>
      <c r="C22" s="2" t="s">
        <v>47</v>
      </c>
      <c r="D22" s="3">
        <v>35</v>
      </c>
      <c r="E22" s="4">
        <f t="shared" si="0"/>
        <v>70000</v>
      </c>
    </row>
    <row r="23" spans="1:5" x14ac:dyDescent="0.25">
      <c r="A23" s="2" t="s">
        <v>43</v>
      </c>
      <c r="B23" s="2" t="s">
        <v>48</v>
      </c>
      <c r="C23" s="2" t="s">
        <v>49</v>
      </c>
      <c r="D23" s="3">
        <v>18</v>
      </c>
      <c r="E23" s="4">
        <f t="shared" si="0"/>
        <v>36000</v>
      </c>
    </row>
    <row r="24" spans="1:5" x14ac:dyDescent="0.25">
      <c r="A24" s="2" t="s">
        <v>50</v>
      </c>
      <c r="B24" s="2" t="s">
        <v>51</v>
      </c>
      <c r="C24" s="2" t="s">
        <v>52</v>
      </c>
      <c r="D24" s="3">
        <v>30</v>
      </c>
      <c r="E24" s="4">
        <f t="shared" si="0"/>
        <v>60000</v>
      </c>
    </row>
    <row r="25" spans="1:5" x14ac:dyDescent="0.25">
      <c r="A25" s="2" t="s">
        <v>50</v>
      </c>
      <c r="B25" s="2" t="s">
        <v>53</v>
      </c>
      <c r="C25" s="2" t="s">
        <v>54</v>
      </c>
      <c r="D25" s="3">
        <v>55</v>
      </c>
      <c r="E25" s="4">
        <f t="shared" si="0"/>
        <v>110000</v>
      </c>
    </row>
    <row r="26" spans="1:5" x14ac:dyDescent="0.25">
      <c r="A26" s="2" t="s">
        <v>50</v>
      </c>
      <c r="B26" s="2" t="s">
        <v>55</v>
      </c>
      <c r="C26" s="2" t="s">
        <v>56</v>
      </c>
      <c r="D26" s="3">
        <v>25</v>
      </c>
      <c r="E26" s="4">
        <f t="shared" si="0"/>
        <v>50000</v>
      </c>
    </row>
    <row r="27" spans="1:5" x14ac:dyDescent="0.25">
      <c r="A27" s="2" t="s">
        <v>57</v>
      </c>
      <c r="B27" s="2" t="s">
        <v>58</v>
      </c>
      <c r="C27" s="2" t="s">
        <v>59</v>
      </c>
      <c r="D27" s="3">
        <v>40</v>
      </c>
      <c r="E27" s="4">
        <f t="shared" si="0"/>
        <v>80000</v>
      </c>
    </row>
    <row r="28" spans="1:5" x14ac:dyDescent="0.25">
      <c r="A28" s="2" t="s">
        <v>57</v>
      </c>
      <c r="B28" s="2" t="s">
        <v>60</v>
      </c>
      <c r="C28" s="2" t="s">
        <v>61</v>
      </c>
      <c r="D28" s="3">
        <v>25</v>
      </c>
      <c r="E28" s="4">
        <f t="shared" si="0"/>
        <v>50000</v>
      </c>
    </row>
    <row r="29" spans="1:5" x14ac:dyDescent="0.25">
      <c r="A29" s="2" t="s">
        <v>57</v>
      </c>
      <c r="B29" s="2" t="s">
        <v>62</v>
      </c>
      <c r="C29" s="2" t="s">
        <v>63</v>
      </c>
      <c r="D29" s="3">
        <v>20</v>
      </c>
      <c r="E29" s="4">
        <f t="shared" si="0"/>
        <v>40000</v>
      </c>
    </row>
    <row r="30" spans="1:5" x14ac:dyDescent="0.25">
      <c r="A30" s="2" t="s">
        <v>64</v>
      </c>
      <c r="B30" s="2" t="s">
        <v>65</v>
      </c>
      <c r="C30" s="2" t="s">
        <v>66</v>
      </c>
      <c r="D30" s="3">
        <v>28</v>
      </c>
      <c r="E30" s="4">
        <f t="shared" si="0"/>
        <v>56000</v>
      </c>
    </row>
    <row r="31" spans="1:5" x14ac:dyDescent="0.25">
      <c r="A31" s="2" t="s">
        <v>64</v>
      </c>
      <c r="B31" s="2" t="s">
        <v>67</v>
      </c>
      <c r="C31" s="2" t="s">
        <v>68</v>
      </c>
      <c r="D31" s="3">
        <v>35</v>
      </c>
      <c r="E31" s="4">
        <f t="shared" si="0"/>
        <v>70000</v>
      </c>
    </row>
    <row r="32" spans="1:5" x14ac:dyDescent="0.25">
      <c r="A32" s="2" t="s">
        <v>64</v>
      </c>
      <c r="B32" s="2" t="s">
        <v>69</v>
      </c>
      <c r="C32" s="2" t="s">
        <v>70</v>
      </c>
      <c r="D32" s="3">
        <v>30</v>
      </c>
      <c r="E32" s="4">
        <f t="shared" si="0"/>
        <v>60000</v>
      </c>
    </row>
    <row r="33" spans="1:5" x14ac:dyDescent="0.25">
      <c r="A33" s="2" t="s">
        <v>71</v>
      </c>
      <c r="B33" s="2" t="s">
        <v>72</v>
      </c>
      <c r="C33" s="2" t="s">
        <v>73</v>
      </c>
      <c r="D33" s="3">
        <v>40</v>
      </c>
      <c r="E33" s="4">
        <f t="shared" si="0"/>
        <v>80000</v>
      </c>
    </row>
    <row r="34" spans="1:5" x14ac:dyDescent="0.25">
      <c r="A34" s="2" t="s">
        <v>71</v>
      </c>
      <c r="B34" s="2" t="s">
        <v>74</v>
      </c>
      <c r="C34" s="2" t="s">
        <v>75</v>
      </c>
      <c r="D34" s="3">
        <v>37</v>
      </c>
      <c r="E34" s="4">
        <f t="shared" si="0"/>
        <v>74000</v>
      </c>
    </row>
    <row r="35" spans="1:5" x14ac:dyDescent="0.25">
      <c r="A35" s="2" t="s">
        <v>71</v>
      </c>
      <c r="B35" s="2" t="s">
        <v>76</v>
      </c>
      <c r="C35" s="2" t="s">
        <v>77</v>
      </c>
      <c r="D35" s="3">
        <v>20</v>
      </c>
      <c r="E35" s="4">
        <f t="shared" si="0"/>
        <v>40000</v>
      </c>
    </row>
    <row r="36" spans="1:5" x14ac:dyDescent="0.25">
      <c r="A36" s="2" t="s">
        <v>78</v>
      </c>
      <c r="B36" s="2" t="s">
        <v>79</v>
      </c>
      <c r="C36" s="2" t="s">
        <v>80</v>
      </c>
      <c r="D36" s="3">
        <v>25</v>
      </c>
      <c r="E36" s="4">
        <f t="shared" si="0"/>
        <v>50000</v>
      </c>
    </row>
    <row r="37" spans="1:5" x14ac:dyDescent="0.25">
      <c r="A37" s="2" t="s">
        <v>78</v>
      </c>
      <c r="B37" s="2" t="s">
        <v>81</v>
      </c>
      <c r="C37" s="2" t="s">
        <v>82</v>
      </c>
      <c r="D37" s="3">
        <v>23</v>
      </c>
      <c r="E37" s="4">
        <f t="shared" si="0"/>
        <v>46000</v>
      </c>
    </row>
    <row r="38" spans="1:5" x14ac:dyDescent="0.25">
      <c r="A38" s="2" t="s">
        <v>83</v>
      </c>
      <c r="B38" s="2" t="s">
        <v>84</v>
      </c>
      <c r="C38" s="2" t="s">
        <v>85</v>
      </c>
      <c r="D38" s="3">
        <v>45</v>
      </c>
      <c r="E38" s="4">
        <f t="shared" si="0"/>
        <v>90000</v>
      </c>
    </row>
    <row r="39" spans="1:5" x14ac:dyDescent="0.25">
      <c r="A39" s="2" t="s">
        <v>83</v>
      </c>
      <c r="B39" s="2" t="s">
        <v>86</v>
      </c>
      <c r="C39" s="2" t="s">
        <v>87</v>
      </c>
      <c r="D39" s="3">
        <v>38</v>
      </c>
      <c r="E39" s="4">
        <f t="shared" si="0"/>
        <v>76000</v>
      </c>
    </row>
    <row r="40" spans="1:5" x14ac:dyDescent="0.25">
      <c r="A40" s="5" t="s">
        <v>88</v>
      </c>
      <c r="B40" s="5" t="s">
        <v>89</v>
      </c>
      <c r="C40" s="5" t="s">
        <v>90</v>
      </c>
      <c r="D40" s="3">
        <v>50</v>
      </c>
      <c r="E40" s="4">
        <f t="shared" si="0"/>
        <v>100000</v>
      </c>
    </row>
    <row r="41" spans="1:5" x14ac:dyDescent="0.25">
      <c r="A41" s="5" t="s">
        <v>91</v>
      </c>
      <c r="B41" s="5" t="s">
        <v>92</v>
      </c>
      <c r="C41" s="5" t="s">
        <v>93</v>
      </c>
      <c r="D41" s="3">
        <v>50</v>
      </c>
      <c r="E41" s="4">
        <f t="shared" si="0"/>
        <v>100000</v>
      </c>
    </row>
    <row r="42" spans="1:5" x14ac:dyDescent="0.25">
      <c r="A42" s="5" t="s">
        <v>94</v>
      </c>
      <c r="B42" s="5" t="s">
        <v>95</v>
      </c>
      <c r="C42" s="5" t="s">
        <v>96</v>
      </c>
      <c r="D42" s="3">
        <v>70</v>
      </c>
      <c r="E42" s="4">
        <f t="shared" si="0"/>
        <v>140000</v>
      </c>
    </row>
    <row r="43" spans="1:5" x14ac:dyDescent="0.25">
      <c r="A43" s="5" t="s">
        <v>97</v>
      </c>
      <c r="B43" s="5" t="s">
        <v>98</v>
      </c>
      <c r="C43" s="5" t="s">
        <v>99</v>
      </c>
      <c r="D43" s="3">
        <v>20</v>
      </c>
      <c r="E43" s="4">
        <f t="shared" si="0"/>
        <v>40000</v>
      </c>
    </row>
    <row r="44" spans="1:5" ht="15" x14ac:dyDescent="0.25">
      <c r="A44" s="8" t="s">
        <v>100</v>
      </c>
      <c r="B44" s="9"/>
      <c r="C44" s="9"/>
      <c r="D44" s="6"/>
      <c r="E44" s="7">
        <f>SUM(E4:E43)</f>
        <v>2596000</v>
      </c>
    </row>
  </sheetData>
  <mergeCells count="3">
    <mergeCell ref="A44:C44"/>
    <mergeCell ref="A2:E2"/>
    <mergeCell ref="A1:E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 Peng.N</cp:lastModifiedBy>
  <dcterms:created xsi:type="dcterms:W3CDTF">2026-01-14T16:32:42Z</dcterms:created>
  <dcterms:modified xsi:type="dcterms:W3CDTF">2026-01-15T06:28:39Z</dcterms:modified>
</cp:coreProperties>
</file>